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RAM CPC 6128" sheetId="1" state="visible" r:id="rId1"/>
    <sheet name="SYMBOL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<sst xmlns="http://schemas.openxmlformats.org/spreadsheetml/2006/main" count="14" uniqueCount="14">
  <si>
    <t>DEC</t>
  </si>
  <si>
    <t>HEX</t>
  </si>
  <si>
    <t>DESCRIPTION</t>
  </si>
  <si>
    <t xml:space="preserve">Interruptions et vecteurs systèmes</t>
  </si>
  <si>
    <t xml:space="preserve">Zone de travail du Firmware (variables système, gestion des touches, du son, etc.).</t>
  </si>
  <si>
    <t xml:space="preserve">Début programme BASIC</t>
  </si>
  <si>
    <t xml:space="preserve">Protection zone max réservée au BASIC via l'instruction MEMORY</t>
  </si>
  <si>
    <t xml:space="preserve">Début programme assembleur</t>
  </si>
  <si>
    <t xml:space="preserve">Début zone tampon page1 dans scrswap.asm (16384 bytes)</t>
  </si>
  <si>
    <t xml:space="preserve">Début zone tampon page2 dans scrswap.asm (16384 bytes)</t>
  </si>
  <si>
    <t xml:space="preserve">Maximum programme BASIC (HIMEM)</t>
  </si>
  <si>
    <t xml:space="preserve">Zone de travail réservée à l'AMSDOS</t>
  </si>
  <si>
    <t xml:space="preserve">Mémoire écran</t>
  </si>
  <si>
    <t xml:space="preserve">Z80 ASSEMBLER CODE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</si>
</sst>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0000"/>
    <numFmt numFmtId="165" formatCode="0000"/>
  </numFmts>
  <fonts count="3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b/>
      <sz val="12.000000"/>
      <color indexed="5"/>
      <name val="Courier New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theme="4" tint="-0.249977111117893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8">
    <xf fontId="0" fillId="0" borderId="0" numFmtId="0" xfId="0"/>
    <xf fontId="0" fillId="0" borderId="0" numFmtId="0" xfId="0" applyAlignment="1">
      <alignment horizontal="center"/>
    </xf>
    <xf fontId="1" fillId="0" borderId="0" numFmtId="0" xfId="0" applyFont="1" applyAlignment="1">
      <alignment horizontal="center"/>
    </xf>
    <xf fontId="1" fillId="0" borderId="0" numFmtId="0" xfId="0" applyFont="1"/>
    <xf fontId="0" fillId="0" borderId="0" numFmtId="164" xfId="0" applyNumberFormat="1" applyAlignment="1">
      <alignment horizontal="center"/>
    </xf>
    <xf fontId="0" fillId="0" borderId="0" numFmtId="165" xfId="0" applyNumberFormat="1" applyAlignment="1">
      <alignment horizontal="center"/>
    </xf>
    <xf fontId="0" fillId="0" borderId="0" numFmtId="164" xfId="0" applyNumberFormat="1" applyAlignment="1">
      <alignment horizontal="center"/>
    </xf>
    <xf fontId="0" fillId="0" borderId="0" numFmtId="165" xfId="0" applyNumberFormat="1" applyAlignment="1">
      <alignment horizontal="center"/>
      <protection hidden="0" locked="1"/>
    </xf>
    <xf fontId="0" fillId="0" borderId="0" numFmtId="0" xfId="0"/>
    <xf fontId="0" fillId="0" borderId="0" numFmtId="165" xfId="0" applyNumberFormat="1" applyAlignment="1">
      <alignment horizontal="center"/>
      <protection hidden="0" locked="1"/>
    </xf>
    <xf fontId="0" fillId="0" borderId="0" numFmtId="0" xfId="0">
      <protection hidden="0" locked="1"/>
    </xf>
    <xf fontId="0" fillId="0" borderId="0" numFmtId="0" xfId="0"/>
    <xf fontId="0" fillId="0" borderId="0" numFmtId="0" xfId="0" applyAlignment="1">
      <alignment horizontal="center"/>
      <protection hidden="0" locked="1"/>
    </xf>
    <xf fontId="0" fillId="0" borderId="0" numFmtId="0" xfId="0" applyAlignment="1">
      <alignment vertical="center"/>
    </xf>
    <xf fontId="0" fillId="0" borderId="1" numFmtId="0" xfId="0" applyBorder="1" applyAlignment="1">
      <alignment horizontal="center" vertical="center"/>
    </xf>
    <xf fontId="2" fillId="2" borderId="0" numFmtId="0" xfId="0" applyFont="1" applyFill="1" applyAlignment="1">
      <alignment horizontal="center" vertical="center"/>
    </xf>
    <xf fontId="0" fillId="0" borderId="1" numFmtId="0" xfId="0" applyBorder="1" applyAlignment="1">
      <alignment horizontal="center" vertical="center"/>
      <protection hidden="0" locked="1"/>
    </xf>
    <xf fontId="0" fillId="0" borderId="0" numFmt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1" max="2" style="1" width="9.140625"/>
    <col bestFit="1" min="3" max="3" width="70.08203125"/>
  </cols>
  <sheetData>
    <row r="1" ht="14.25">
      <c r="A1" s="2" t="s">
        <v>0</v>
      </c>
      <c r="B1" s="2" t="s">
        <v>1</v>
      </c>
      <c r="C1" s="3" t="s">
        <v>2</v>
      </c>
    </row>
    <row r="2" ht="14.25">
      <c r="A2" s="4">
        <v>0</v>
      </c>
      <c r="B2" s="5" t="str">
        <f>DEC2HEX(A2)</f>
        <v>0</v>
      </c>
      <c r="C2" t="s">
        <v>3</v>
      </c>
    </row>
    <row r="3" ht="14.25">
      <c r="A3" s="6">
        <v>63</v>
      </c>
      <c r="B3" s="7" t="str">
        <f>DEC2HEX(A3)</f>
        <v>3F</v>
      </c>
    </row>
    <row r="4" ht="14.25">
      <c r="A4" s="6">
        <v>64</v>
      </c>
      <c r="B4" s="7" t="str">
        <f>DEC2HEX(A4)</f>
        <v>40</v>
      </c>
      <c r="C4" t="s">
        <v>4</v>
      </c>
      <c r="D4" s="8"/>
    </row>
    <row r="5" ht="14.25">
      <c r="A5" s="6">
        <f>HEX2DEC("16f")</f>
        <v>367</v>
      </c>
      <c r="B5" s="7" t="str">
        <f>DEC2HEX(A5)</f>
        <v>16F</v>
      </c>
      <c r="D5" s="8"/>
    </row>
    <row r="6" ht="14.25">
      <c r="A6" s="4">
        <f>HEX2DEC(170)</f>
        <v>368</v>
      </c>
      <c r="B6" s="9" t="str">
        <f>DEC2HEX(A6)</f>
        <v>170</v>
      </c>
      <c r="C6" t="s">
        <v>5</v>
      </c>
    </row>
    <row r="7" ht="14.25">
      <c r="A7" s="4"/>
      <c r="B7" s="5"/>
    </row>
    <row r="8" ht="14.25">
      <c r="A8" s="4">
        <f>A9-1</f>
        <v>8191</v>
      </c>
      <c r="B8" s="9" t="str">
        <f>DEC2HEX(A8)</f>
        <v>1FFF</v>
      </c>
      <c r="C8" t="s">
        <v>6</v>
      </c>
      <c r="H8">
        <v>34427</v>
      </c>
    </row>
    <row r="9" ht="14.25">
      <c r="A9" s="6">
        <f>HEX2DEC("2000")</f>
        <v>8192</v>
      </c>
      <c r="B9" s="7" t="str">
        <f>DEC2HEX(A9)</f>
        <v>2000</v>
      </c>
      <c r="C9" t="s">
        <v>7</v>
      </c>
      <c r="H9">
        <v>16348</v>
      </c>
    </row>
    <row r="10" ht="14.25">
      <c r="A10" s="4"/>
      <c r="B10" s="9"/>
      <c r="H10" s="10">
        <v>16348</v>
      </c>
    </row>
    <row r="11" ht="14.25">
      <c r="A11" s="4"/>
      <c r="B11" s="9"/>
      <c r="H11">
        <f>H8-H9-H10</f>
        <v>1731</v>
      </c>
    </row>
    <row r="12" ht="14.25">
      <c r="A12" s="6">
        <f>A13-16384</f>
        <v>9851</v>
      </c>
      <c r="B12" s="7" t="str">
        <f>DEC2HEX(A12)</f>
        <v>267B</v>
      </c>
      <c r="C12" t="s">
        <v>8</v>
      </c>
    </row>
    <row r="13" ht="14.25">
      <c r="A13" s="4">
        <f>A14-16384</f>
        <v>26235</v>
      </c>
      <c r="B13" s="9" t="str">
        <f>DEC2HEX(A13)</f>
        <v>667B</v>
      </c>
      <c r="C13" s="11" t="s">
        <v>9</v>
      </c>
    </row>
    <row r="14" ht="14.25">
      <c r="A14" s="4">
        <v>42619</v>
      </c>
      <c r="B14" s="9" t="str">
        <f>DEC2HEX(A14)</f>
        <v>A67B</v>
      </c>
      <c r="C14" t="s">
        <v>10</v>
      </c>
    </row>
    <row r="15" ht="14.25">
      <c r="A15" s="4"/>
      <c r="B15" s="5"/>
    </row>
    <row r="16" ht="14.25">
      <c r="A16" s="4">
        <f>HEX2DEC("a660")</f>
        <v>42592</v>
      </c>
      <c r="B16" s="9" t="str">
        <f>DEC2HEX(A16)</f>
        <v>A660</v>
      </c>
      <c r="C16" t="s">
        <v>11</v>
      </c>
    </row>
    <row r="17" ht="14.25">
      <c r="A17" s="4"/>
      <c r="B17" s="5"/>
    </row>
    <row r="18" ht="14.25">
      <c r="A18" s="1"/>
      <c r="B18" s="1"/>
    </row>
    <row r="19" ht="14.25">
      <c r="A19" s="4"/>
      <c r="B19" s="5"/>
    </row>
    <row r="20" ht="14.25">
      <c r="A20" s="4"/>
      <c r="B20" s="5"/>
    </row>
    <row r="21" ht="14.25">
      <c r="A21" s="12">
        <f>HEX2DEC("c000")</f>
        <v>49152</v>
      </c>
      <c r="B21" s="9" t="str">
        <f>DEC2HEX(A21)</f>
        <v>C000</v>
      </c>
      <c r="C21" t="s">
        <v>12</v>
      </c>
    </row>
    <row r="22" ht="14.25">
      <c r="A22" s="4"/>
      <c r="B22" s="5"/>
    </row>
    <row r="23" ht="14.25">
      <c r="A23" s="4"/>
      <c r="B23" s="5"/>
    </row>
    <row r="24" ht="14.25">
      <c r="A24" s="4"/>
      <c r="B24" s="5"/>
    </row>
    <row r="25" ht="14.25">
      <c r="A25" s="4"/>
      <c r="B25" s="5"/>
    </row>
    <row r="26" ht="14.25">
      <c r="A26" s="4"/>
      <c r="B26" s="5"/>
    </row>
    <row r="27" ht="14.25">
      <c r="A27" s="4"/>
      <c r="B27" s="5"/>
    </row>
    <row r="28" ht="14.25">
      <c r="A28" s="4"/>
      <c r="B28" s="5"/>
    </row>
    <row r="29" ht="14.25">
      <c r="A29" s="4"/>
      <c r="B29" s="5"/>
    </row>
    <row r="30" ht="14.25">
      <c r="A30" s="4"/>
      <c r="B30" s="5"/>
    </row>
    <row r="31" ht="14.25">
      <c r="A31" s="4"/>
      <c r="B31" s="5"/>
    </row>
    <row r="32" ht="14.25">
      <c r="A32" s="4"/>
      <c r="B32" s="5"/>
    </row>
    <row r="33" ht="14.25">
      <c r="A33" s="4"/>
      <c r="B33" s="5"/>
    </row>
    <row r="34" ht="14.25">
      <c r="A34" s="4"/>
      <c r="B34" s="5"/>
    </row>
    <row r="35" ht="14.25">
      <c r="A35" s="4"/>
      <c r="B35" s="5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5"/>
  <cols>
    <col customWidth="1" min="14" max="14" width="51.140625"/>
  </cols>
  <sheetData>
    <row r="2">
      <c r="B2" s="2">
        <v>128</v>
      </c>
      <c r="C2" s="2">
        <v>64</v>
      </c>
      <c r="D2" s="2">
        <v>32</v>
      </c>
      <c r="E2" s="2">
        <v>16</v>
      </c>
      <c r="F2" s="2">
        <v>8</v>
      </c>
      <c r="G2" s="2">
        <v>4</v>
      </c>
      <c r="H2" s="2">
        <v>2</v>
      </c>
      <c r="I2" s="2">
        <v>1</v>
      </c>
      <c r="J2" s="1"/>
      <c r="K2" s="2" t="s">
        <v>0</v>
      </c>
      <c r="N2" s="3" t="s">
        <v>13</v>
      </c>
    </row>
    <row r="4" s="13" customFormat="1" ht="46.799999999999997" customHeight="1">
      <c r="A4" s="13"/>
      <c r="B4" s="14">
        <v>0</v>
      </c>
      <c r="C4" s="14">
        <v>0</v>
      </c>
      <c r="D4" s="14">
        <v>0</v>
      </c>
      <c r="E4" s="14">
        <v>1</v>
      </c>
      <c r="F4" s="14">
        <v>1</v>
      </c>
      <c r="G4" s="14">
        <v>0</v>
      </c>
      <c r="H4" s="14">
        <v>0</v>
      </c>
      <c r="I4" s="14">
        <v>0</v>
      </c>
      <c r="J4" s="13"/>
      <c r="K4" s="13">
        <f>(B4*128+C4*64+D4*32+E4*16+F4*8+G4*4+H4*2+I4*1)</f>
        <v>24</v>
      </c>
      <c r="L4" s="13"/>
      <c r="M4" s="13"/>
      <c r="N4" s="15" t="str">
        <f>"DB "&amp;K4&amp;","&amp;K5&amp;","&amp;K6&amp;","&amp;K7&amp;","&amp;K8&amp;","&amp;K9&amp;","&amp;K10&amp;","&amp;K11</f>
        <v xml:space="preserve">DB 24,60,126,255,153,153,159,255</v>
      </c>
      <c r="O4" s="13"/>
      <c r="P4" s="13"/>
    </row>
    <row r="5" s="13" customFormat="1" ht="46.799999999999997" customHeight="1">
      <c r="A5" s="13"/>
      <c r="B5" s="16">
        <v>0</v>
      </c>
      <c r="C5" s="16">
        <v>0</v>
      </c>
      <c r="D5" s="16">
        <v>1</v>
      </c>
      <c r="E5" s="16">
        <v>1</v>
      </c>
      <c r="F5" s="16">
        <v>1</v>
      </c>
      <c r="G5" s="16">
        <v>1</v>
      </c>
      <c r="H5" s="16">
        <v>0</v>
      </c>
      <c r="I5" s="16">
        <v>0</v>
      </c>
      <c r="J5" s="13"/>
      <c r="K5" s="13">
        <f>(B5*128+C5*64+D5*32+E5*16+F5*8+G5*4+H5*2+I5*1)</f>
        <v>60</v>
      </c>
      <c r="L5" s="13"/>
      <c r="M5" s="17"/>
      <c r="N5" s="13"/>
      <c r="O5" s="13"/>
      <c r="P5" s="13"/>
    </row>
    <row r="6" s="13" customFormat="1" ht="46.799999999999997" customHeight="1">
      <c r="A6" s="13"/>
      <c r="B6" s="16">
        <v>0</v>
      </c>
      <c r="C6" s="16">
        <v>1</v>
      </c>
      <c r="D6" s="16">
        <v>1</v>
      </c>
      <c r="E6" s="16">
        <v>1</v>
      </c>
      <c r="F6" s="16">
        <v>1</v>
      </c>
      <c r="G6" s="16">
        <v>1</v>
      </c>
      <c r="H6" s="16">
        <v>1</v>
      </c>
      <c r="I6" s="16">
        <v>0</v>
      </c>
      <c r="K6" s="13">
        <f>(B6*128+C6*64+D6*32+E6*16+F6*8+G6*4+H6*2+I6*1)</f>
        <v>126</v>
      </c>
    </row>
    <row r="7" s="13" customFormat="1" ht="46.799999999999997" customHeight="1">
      <c r="A7" s="13"/>
      <c r="B7" s="16">
        <v>1</v>
      </c>
      <c r="C7" s="16">
        <v>1</v>
      </c>
      <c r="D7" s="16">
        <v>1</v>
      </c>
      <c r="E7" s="16">
        <v>1</v>
      </c>
      <c r="F7" s="16">
        <v>1</v>
      </c>
      <c r="G7" s="16">
        <v>1</v>
      </c>
      <c r="H7" s="16">
        <v>1</v>
      </c>
      <c r="I7" s="16">
        <v>1</v>
      </c>
      <c r="K7" s="13">
        <f>(B7*128+C7*64+D7*32+E7*16+F7*8+G7*4+H7*2+I7*1)</f>
        <v>255</v>
      </c>
    </row>
    <row r="8" s="13" customFormat="1" ht="46.799999999999997" customHeight="1">
      <c r="A8" s="13"/>
      <c r="B8" s="16">
        <v>1</v>
      </c>
      <c r="C8" s="16">
        <v>0</v>
      </c>
      <c r="D8" s="16">
        <v>0</v>
      </c>
      <c r="E8" s="16">
        <v>1</v>
      </c>
      <c r="F8" s="16">
        <v>1</v>
      </c>
      <c r="G8" s="16">
        <v>0</v>
      </c>
      <c r="H8" s="16">
        <v>0</v>
      </c>
      <c r="I8" s="16">
        <v>1</v>
      </c>
      <c r="K8" s="13">
        <f>(B8*128+C8*64+D8*32+E8*16+F8*8+G8*4+H8*2+I8*1)</f>
        <v>153</v>
      </c>
    </row>
    <row r="9" s="13" customFormat="1" ht="46.799999999999997" customHeight="1">
      <c r="A9" s="13"/>
      <c r="B9" s="16">
        <v>1</v>
      </c>
      <c r="C9" s="16">
        <v>0</v>
      </c>
      <c r="D9" s="16">
        <v>0</v>
      </c>
      <c r="E9" s="16">
        <v>1</v>
      </c>
      <c r="F9" s="16">
        <v>1</v>
      </c>
      <c r="G9" s="16">
        <v>0</v>
      </c>
      <c r="H9" s="16">
        <v>0</v>
      </c>
      <c r="I9" s="16">
        <v>1</v>
      </c>
      <c r="K9" s="13">
        <f>(B9*128+C9*64+D9*32+E9*16+F9*8+G9*4+H9*2+I9*1)</f>
        <v>153</v>
      </c>
    </row>
    <row r="10" s="13" customFormat="1" ht="46.799999999999997" customHeight="1">
      <c r="A10" s="13"/>
      <c r="B10" s="16">
        <v>1</v>
      </c>
      <c r="C10" s="16">
        <v>0</v>
      </c>
      <c r="D10" s="16">
        <v>0</v>
      </c>
      <c r="E10" s="16">
        <v>1</v>
      </c>
      <c r="F10" s="16">
        <v>1</v>
      </c>
      <c r="G10" s="16">
        <v>1</v>
      </c>
      <c r="H10" s="16">
        <v>1</v>
      </c>
      <c r="I10" s="16">
        <v>1</v>
      </c>
      <c r="K10" s="13">
        <f>(B10*128+C10*64+D10*32+E10*16+F10*8+G10*4+H10*2+I10*1)</f>
        <v>159</v>
      </c>
    </row>
    <row r="11" s="13" customFormat="1" ht="46.799999999999997" customHeight="1">
      <c r="B11" s="16">
        <v>1</v>
      </c>
      <c r="C11" s="16">
        <v>1</v>
      </c>
      <c r="D11" s="16">
        <v>1</v>
      </c>
      <c r="E11" s="16">
        <v>1</v>
      </c>
      <c r="F11" s="16">
        <v>1</v>
      </c>
      <c r="G11" s="16">
        <v>1</v>
      </c>
      <c r="H11" s="16">
        <v>1</v>
      </c>
      <c r="I11" s="16">
        <v>1</v>
      </c>
      <c r="K11" s="13">
        <f>(B11*128+C11*64+D11*32+E11*16+F11*8+G11*4+H11*2+I11*1)</f>
        <v>255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greaterThan" id="{362258E5-24AA-412C-981D-85FB3F253538}">
            <xm:f>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B4:I4</xm:sqref>
        </x14:conditionalFormatting>
        <x14:conditionalFormatting xmlns:xm="http://schemas.microsoft.com/office/excel/2006/main">
          <x14:cfRule type="cellIs" priority="1" operator="greaterThan" id="{7094EB36-22B3-4342-B941-E098D462C267}">
            <xm:f>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B5:I5</xm:sqref>
        </x14:conditionalFormatting>
        <x14:conditionalFormatting xmlns:xm="http://schemas.microsoft.com/office/excel/2006/main">
          <x14:cfRule type="cellIs" priority="1" operator="greaterThan" id="{AB507B41-E923-420B-9BAF-D12B18A52279}">
            <xm:f>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B6:I6</xm:sqref>
        </x14:conditionalFormatting>
        <x14:conditionalFormatting xmlns:xm="http://schemas.microsoft.com/office/excel/2006/main">
          <x14:cfRule type="cellIs" priority="1" operator="greaterThan" id="{F834099C-2313-4F86-B19D-52A920703A52}">
            <xm:f>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B7:I7</xm:sqref>
        </x14:conditionalFormatting>
        <x14:conditionalFormatting xmlns:xm="http://schemas.microsoft.com/office/excel/2006/main">
          <x14:cfRule type="cellIs" priority="1" operator="greaterThan" id="{3DB18D29-751A-4465-9DF6-F79154B6D331}">
            <xm:f>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B8:I8</xm:sqref>
        </x14:conditionalFormatting>
        <x14:conditionalFormatting xmlns:xm="http://schemas.microsoft.com/office/excel/2006/main">
          <x14:cfRule type="cellIs" priority="1" operator="greaterThan" id="{8FD071FD-D041-4CA8-A91D-C49B8ADDFEA7}">
            <xm:f>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B9:I9</xm:sqref>
        </x14:conditionalFormatting>
        <x14:conditionalFormatting xmlns:xm="http://schemas.microsoft.com/office/excel/2006/main">
          <x14:cfRule type="cellIs" priority="1" operator="greaterThan" id="{568DA1F3-ECA5-425D-8CD1-A58BA40D5838}">
            <xm:f>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B10:I10</xm:sqref>
        </x14:conditionalFormatting>
        <x14:conditionalFormatting xmlns:xm="http://schemas.microsoft.com/office/excel/2006/main">
          <x14:cfRule type="cellIs" priority="1" operator="greaterThan" id="{7AD793B5-D3F7-413C-92DA-2E0CD79B0DD7}">
            <xm:f>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B11:I11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2026-06-26T11:24:04Z</dcterms:modified>
</cp:coreProperties>
</file>